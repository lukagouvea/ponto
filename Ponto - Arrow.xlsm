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49.xml" ContentType="application/vnd.ms-excel.person+xml"/>
  <Override PartName="/xl/persons/person1.xml" ContentType="application/vnd.ms-excel.person+xml"/>
  <Override PartName="/xl/persons/person11.xml" ContentType="application/vnd.ms-excel.person+xml"/>
  <Override PartName="/xl/persons/person22.xml" ContentType="application/vnd.ms-excel.person+xml"/>
  <Override PartName="/xl/persons/person6.xml" ContentType="application/vnd.ms-excel.person+xml"/>
  <Override PartName="/xl/persons/person17.xml" ContentType="application/vnd.ms-excel.person+xml"/>
  <Override PartName="/xl/persons/person25.xml" ContentType="application/vnd.ms-excel.person+xml"/>
  <Override PartName="/xl/persons/person28.xml" ContentType="application/vnd.ms-excel.person+xml"/>
  <Override PartName="/xl/persons/person32.xml" ContentType="application/vnd.ms-excel.person+xml"/>
  <Override PartName="/xl/persons/person36.xml" ContentType="application/vnd.ms-excel.person+xml"/>
  <Override PartName="/xl/persons/person45.xml" ContentType="application/vnd.ms-excel.person+xml"/>
  <Override PartName="/xl/persons/person4.xml" ContentType="application/vnd.ms-excel.person+xml"/>
  <Override PartName="/xl/persons/person13.xml" ContentType="application/vnd.ms-excel.person+xml"/>
  <Override PartName="/xl/persons/person24.xml" ContentType="application/vnd.ms-excel.person+xml"/>
  <Override PartName="/xl/persons/person35.xml" ContentType="application/vnd.ms-excel.person+xml"/>
  <Override PartName="/xl/persons/person44.xml" ContentType="application/vnd.ms-excel.person+xml"/>
  <Override PartName="/xl/persons/person26.xml" ContentType="application/vnd.ms-excel.person+xml"/>
  <Override PartName="/xl/persons/person8.xml" ContentType="application/vnd.ms-excel.person+xml"/>
  <Override PartName="/xl/persons/person15.xml" ContentType="application/vnd.ms-excel.person+xml"/>
  <Override PartName="/xl/persons/person20.xml" ContentType="application/vnd.ms-excel.person+xml"/>
  <Override PartName="/xl/persons/person2.xml" ContentType="application/vnd.ms-excel.person+xml"/>
  <Override PartName="/xl/persons/person34.xml" ContentType="application/vnd.ms-excel.person+xml"/>
  <Override PartName="/xl/persons/person39.xml" ContentType="application/vnd.ms-excel.person+xml"/>
  <Override PartName="/xl/persons/person50.xml" ContentType="application/vnd.ms-excel.person+xml"/>
  <Override PartName="/xl/persons/person7.xml" ContentType="application/vnd.ms-excel.person+xml"/>
  <Override PartName="/xl/persons/person12.xml" ContentType="application/vnd.ms-excel.person+xml"/>
  <Override PartName="/xl/persons/person19.xml" ContentType="application/vnd.ms-excel.person+xml"/>
  <Override PartName="/xl/persons/person31.xml" ContentType="application/vnd.ms-excel.person+xml"/>
  <Override PartName="/xl/persons/person38.xml" ContentType="application/vnd.ms-excel.person+xml"/>
  <Override PartName="/xl/persons/person42.xml" ContentType="application/vnd.ms-excel.person+xml"/>
  <Override PartName="/xl/persons/person5.xml" ContentType="application/vnd.ms-excel.person+xml"/>
  <Override PartName="/xl/persons/person0.xml" ContentType="application/vnd.ms-excel.person+xml"/>
  <Override PartName="/xl/persons/person27.xml" ContentType="application/vnd.ms-excel.person+xml"/>
  <Override PartName="/xl/persons/person33.xml" ContentType="application/vnd.ms-excel.person+xml"/>
  <Override PartName="/xl/persons/person41.xml" ContentType="application/vnd.ms-excel.person+xml"/>
  <Override PartName="/xl/persons/person47.xml" ContentType="application/vnd.ms-excel.person+xml"/>
  <Override PartName="/xl/persons/person43.xml" ContentType="application/vnd.ms-excel.person+xml"/>
  <Override PartName="/xl/persons/person30.xml" ContentType="application/vnd.ms-excel.person+xml"/>
  <Override PartName="/xl/persons/person29.xml" ContentType="application/vnd.ms-excel.person+xml"/>
  <Override PartName="/xl/persons/person23.xml" ContentType="application/vnd.ms-excel.person+xml"/>
  <Override PartName="/xl/persons/person18.xml" ContentType="application/vnd.ms-excel.person+xml"/>
  <Override PartName="/xl/persons/person14.xml" ContentType="application/vnd.ms-excel.person+xml"/>
  <Override PartName="/xl/persons/person10.xml" ContentType="application/vnd.ms-excel.person+xml"/>
  <Override PartName="/xl/persons/person46.xml" ContentType="application/vnd.ms-excel.person+xml"/>
  <Override PartName="/xl/persons/person51.xml" ContentType="application/vnd.ms-excel.person+xml"/>
  <Override PartName="/xl/persons/person37.xml" ContentType="application/vnd.ms-excel.person+xml"/>
  <Override PartName="/xl/persons/person48.xml" ContentType="application/vnd.ms-excel.person+xml"/>
  <Override PartName="/xl/persons/person9.xml" ContentType="application/vnd.ms-excel.person+xml"/>
  <Override PartName="/xl/persons/person16.xml" ContentType="application/vnd.ms-excel.person+xml"/>
  <Override PartName="/xl/persons/person21.xml" ContentType="application/vnd.ms-excel.person+xml"/>
  <Override PartName="/xl/persons/person3.xml" ContentType="application/vnd.ms-excel.person+xml"/>
  <Override PartName="/xl/persons/person40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ab76e0d5bf488a/Documentos/"/>
    </mc:Choice>
  </mc:AlternateContent>
  <xr:revisionPtr revIDLastSave="736" documentId="14_{0CDB1A18-FC2E-413B-A586-CCCA998009D3}" xr6:coauthVersionLast="47" xr6:coauthVersionMax="47" xr10:uidLastSave="{1BC4A213-7A21-4C66-8EF9-AA986F140E10}"/>
  <bookViews>
    <workbookView xWindow="17040" yWindow="-15" windowWidth="21480" windowHeight="15615" tabRatio="580" firstSheet="1" activeTab="2" xr2:uid="{CBA9BF31-BA72-457E-BA80-E6336A1C058A}"/>
  </bookViews>
  <sheets>
    <sheet name="Table 1" sheetId="3" state="hidden" r:id="rId1"/>
    <sheet name="Janeiro_2023" sheetId="7" r:id="rId2"/>
    <sheet name="Fevereiro_2023" sheetId="8" r:id="rId3"/>
  </sheets>
  <functionGroups builtInGroupCount="19"/>
  <definedNames>
    <definedName name="DadosExternos_1" localSheetId="0" hidden="1">'Table 1'!$A$1:$B$6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8" l="1"/>
  <c r="D27" i="8"/>
  <c r="D28" i="8" s="1"/>
  <c r="D20" i="8"/>
  <c r="D13" i="8"/>
  <c r="D14" i="8" s="1"/>
  <c r="D6" i="8"/>
  <c r="D7" i="8" s="1"/>
  <c r="B35" i="8"/>
  <c r="B30" i="8"/>
  <c r="B31" i="8" s="1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D21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3" i="8"/>
  <c r="M2" i="8" l="1"/>
  <c r="M6" i="8"/>
  <c r="M17" i="8"/>
  <c r="M24" i="8"/>
  <c r="M7" i="8"/>
  <c r="M15" i="8"/>
  <c r="M18" i="8"/>
  <c r="M22" i="8"/>
  <c r="M25" i="8"/>
  <c r="M5" i="8"/>
  <c r="M9" i="8"/>
  <c r="M13" i="8"/>
  <c r="M20" i="8"/>
  <c r="M27" i="8"/>
  <c r="M10" i="8"/>
  <c r="M14" i="8"/>
  <c r="M21" i="8"/>
  <c r="M3" i="8"/>
  <c r="M11" i="8"/>
  <c r="M4" i="8"/>
  <c r="M8" i="8"/>
  <c r="M12" i="8"/>
  <c r="M16" i="8"/>
  <c r="M19" i="8"/>
  <c r="M23" i="8"/>
  <c r="M26" i="8"/>
  <c r="M28" i="8"/>
  <c r="M29" i="8"/>
  <c r="C31" i="8"/>
  <c r="D30" i="7"/>
  <c r="D31" i="7" s="1"/>
  <c r="D23" i="7"/>
  <c r="D24" i="7" s="1"/>
  <c r="D16" i="7"/>
  <c r="D17" i="7" s="1"/>
  <c r="D9" i="7"/>
  <c r="D10" i="7" s="1"/>
  <c r="D2" i="7"/>
  <c r="D3" i="7" s="1"/>
  <c r="B38" i="7"/>
  <c r="B33" i="7"/>
  <c r="B34" i="7" s="1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3" i="7"/>
  <c r="L2" i="7"/>
  <c r="C34" i="7" l="1"/>
  <c r="M9" i="7"/>
  <c r="M31" i="7"/>
  <c r="M32" i="7"/>
  <c r="M21" i="7"/>
  <c r="M20" i="7"/>
  <c r="M10" i="7"/>
  <c r="M11" i="7"/>
  <c r="M22" i="7"/>
  <c r="M19" i="7"/>
  <c r="M12" i="7"/>
  <c r="M2" i="7"/>
  <c r="M13" i="7"/>
  <c r="M4" i="7"/>
  <c r="M27" i="7"/>
  <c r="M3" i="7"/>
  <c r="M23" i="7"/>
  <c r="M5" i="7"/>
  <c r="M14" i="7"/>
  <c r="M24" i="7"/>
  <c r="M6" i="7"/>
  <c r="M15" i="7"/>
  <c r="M25" i="7"/>
  <c r="M7" i="7"/>
  <c r="M16" i="7"/>
  <c r="M26" i="7"/>
  <c r="M8" i="7"/>
  <c r="M17" i="7"/>
  <c r="M18" i="7"/>
  <c r="M28" i="7"/>
  <c r="M29" i="7"/>
  <c r="M3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28BCF0-F0B3-48D6-A6AB-AD21D9AF1DFE}" keepAlive="1" name="Consulta - Table 1" description="Conexão com a consulta 'Table 1' na pasta de trabalho." type="5" refreshedVersion="8" background="1" saveData="1">
    <dbPr connection="Provider=Microsoft.Mashup.OleDb.1;Data Source=$Workbook$;Location=&quot;Table 1&quot;;Extended Properties=&quot;&quot;" command="SELECT * FROM [Table 1]"/>
  </connection>
</connections>
</file>

<file path=xl/sharedStrings.xml><?xml version="1.0" encoding="utf-8"?>
<sst xmlns="http://schemas.openxmlformats.org/spreadsheetml/2006/main" count="32" uniqueCount="15">
  <si>
    <t>Data</t>
  </si>
  <si>
    <t>Entrada</t>
  </si>
  <si>
    <t>Total Semana:</t>
  </si>
  <si>
    <t>Saida</t>
  </si>
  <si>
    <t>USD/Hora</t>
  </si>
  <si>
    <t>USD-&gt;Real</t>
  </si>
  <si>
    <t>Moeda</t>
  </si>
  <si>
    <t>Valor em real</t>
  </si>
  <si>
    <t>Dólar comercial</t>
  </si>
  <si>
    <t>Dólar turismo</t>
  </si>
  <si>
    <t>Dólar ptax</t>
  </si>
  <si>
    <t>Euro comercial</t>
  </si>
  <si>
    <t>Euro turismo</t>
  </si>
  <si>
    <t>Total:</t>
  </si>
  <si>
    <t>Horas trabalhadas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</si>
</sst>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R$&quot;* #,##0.00_);_(&quot;R$&quot;* \(#,##0.00\);_(&quot;R$&quot;* &quot;-&quot;??_);_(@_)"/>
    <numFmt numFmtId="165" formatCode="[h]:mm"/>
    <numFmt numFmtId="166" formatCode="[h]:mm;@"/>
    <numFmt numFmtId="167" formatCode="_-[$$-409]* #,##0.00_ ;_-[$$-409]* \-#,##0.00\ ;_-[$$-409]* &quot;-&quot;??_ ;_-@_ "/>
    <numFmt numFmtId="168" formatCode="_-[$R$-416]\ * #,##0.00_-;\-[$R$-416]\ * #,##0.00_-;_-[$R$-416]\ * &quot;-&quot;??_-;_-@_-"/>
    <numFmt numFmtId="169" formatCode="0.0000000000"/>
    <numFmt numFmtId="170" formatCode="[$-F400]h:mm:ss\ AM/PM"/>
    <numFmt numFmtId="171" formatCode="_-[$R$-416]\ * #,##0.0000_-;\-[$R$-416]\ * #,##0.0000_-;_-[$R$-416]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1" applyNumberFormat="1" applyFont="1"/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" fontId="0" fillId="0" borderId="0" xfId="0" applyNumberFormat="1"/>
    <xf numFmtId="170" fontId="0" fillId="0" borderId="1" xfId="0" applyNumberFormat="1" applyBorder="1"/>
    <xf numFmtId="49" fontId="0" fillId="0" borderId="0" xfId="0" applyNumberFormat="1"/>
    <xf numFmtId="171" fontId="0" fillId="0" borderId="0" xfId="1" applyNumberFormat="1" applyFont="1"/>
    <xf numFmtId="0" fontId="0" fillId="0" borderId="0" xfId="0" applyAlignment="1">
      <alignment horizontal="right"/>
    </xf>
    <xf numFmtId="166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2" fontId="0" fillId="0" borderId="1" xfId="0" applyNumberFormat="1" applyBorder="1" applyAlignment="1">
      <alignment horizontal="center"/>
    </xf>
    <xf numFmtId="167" fontId="0" fillId="0" borderId="0" xfId="0" applyNumberFormat="1"/>
    <xf numFmtId="165" fontId="0" fillId="0" borderId="0" xfId="0" applyNumberFormat="1"/>
    <xf numFmtId="14" fontId="0" fillId="0" borderId="1" xfId="0" applyNumberFormat="1" applyBorder="1" applyAlignment="1">
      <alignment horizontal="center"/>
    </xf>
  </cellXfs>
  <cellStyles count="2">
    <cellStyle name="Moeda" xfId="1" builtinId="4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17/10/relationships/person" Target="persons/person49.xml"/><Relationship Id="rId18" Type="http://schemas.microsoft.com/office/2017/10/relationships/person" Target="persons/person1.xml"/><Relationship Id="rId26" Type="http://schemas.microsoft.com/office/2017/10/relationships/person" Target="persons/person11.xml"/><Relationship Id="rId39" Type="http://schemas.microsoft.com/office/2017/10/relationships/person" Target="persons/person22.xml"/><Relationship Id="rId21" Type="http://schemas.microsoft.com/office/2017/10/relationships/person" Target="persons/person6.xml"/><Relationship Id="rId34" Type="http://schemas.microsoft.com/office/2017/10/relationships/person" Target="persons/person17.xml"/><Relationship Id="rId42" Type="http://schemas.microsoft.com/office/2017/10/relationships/person" Target="persons/person25.xml"/><Relationship Id="rId47" Type="http://schemas.microsoft.com/office/2017/10/relationships/person" Target="persons/person28.xml"/><Relationship Id="rId50" Type="http://schemas.microsoft.com/office/2017/10/relationships/person" Target="persons/person32.xml"/><Relationship Id="rId55" Type="http://schemas.microsoft.com/office/2017/10/relationships/person" Target="persons/person36.xml"/><Relationship Id="rId63" Type="http://schemas.microsoft.com/office/2017/10/relationships/person" Target="persons/person45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0" Type="http://schemas.microsoft.com/office/2017/10/relationships/person" Target="persons/person4.xml"/><Relationship Id="rId29" Type="http://schemas.microsoft.com/office/2017/10/relationships/person" Target="persons/person13.xml"/><Relationship Id="rId41" Type="http://schemas.microsoft.com/office/2017/10/relationships/person" Target="persons/person24.xml"/><Relationship Id="rId54" Type="http://schemas.microsoft.com/office/2017/10/relationships/person" Target="persons/person35.xml"/><Relationship Id="rId62" Type="http://schemas.microsoft.com/office/2017/10/relationships/person" Target="persons/person44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40" Type="http://schemas.microsoft.com/office/2017/10/relationships/person" Target="persons/person26.xml"/><Relationship Id="rId24" Type="http://schemas.microsoft.com/office/2017/10/relationships/person" Target="persons/person8.xml"/><Relationship Id="rId32" Type="http://schemas.microsoft.com/office/2017/10/relationships/person" Target="persons/person15.xml"/><Relationship Id="rId37" Type="http://schemas.microsoft.com/office/2017/10/relationships/person" Target="persons/person20.xml"/><Relationship Id="rId45" Type="http://schemas.microsoft.com/office/2017/10/relationships/person" Target="persons/person2.xml"/><Relationship Id="rId53" Type="http://schemas.microsoft.com/office/2017/10/relationships/person" Target="persons/person34.xml"/><Relationship Id="rId58" Type="http://schemas.microsoft.com/office/2017/10/relationships/person" Target="persons/person39.xml"/><Relationship Id="rId66" Type="http://schemas.microsoft.com/office/2017/10/relationships/person" Target="persons/person50.xml"/><Relationship Id="rId5" Type="http://schemas.openxmlformats.org/officeDocument/2006/relationships/connections" Target="connections.xml"/><Relationship Id="rId23" Type="http://schemas.microsoft.com/office/2017/10/relationships/person" Target="persons/person7.xml"/><Relationship Id="rId28" Type="http://schemas.microsoft.com/office/2017/10/relationships/person" Target="persons/person12.xml"/><Relationship Id="rId36" Type="http://schemas.microsoft.com/office/2017/10/relationships/person" Target="persons/person19.xml"/><Relationship Id="rId49" Type="http://schemas.microsoft.com/office/2017/10/relationships/person" Target="persons/person31.xml"/><Relationship Id="rId57" Type="http://schemas.microsoft.com/office/2017/10/relationships/person" Target="persons/person38.xml"/><Relationship Id="rId61" Type="http://schemas.microsoft.com/office/2017/10/relationships/person" Target="persons/person42.xml"/><Relationship Id="rId10" Type="http://schemas.openxmlformats.org/officeDocument/2006/relationships/customXml" Target="../customXml/item1.xml"/><Relationship Id="rId19" Type="http://schemas.microsoft.com/office/2017/10/relationships/person" Target="persons/person5.xml"/><Relationship Id="rId31" Type="http://schemas.microsoft.com/office/2017/10/relationships/person" Target="persons/person0.xml"/><Relationship Id="rId44" Type="http://schemas.microsoft.com/office/2017/10/relationships/person" Target="persons/person27.xml"/><Relationship Id="rId52" Type="http://schemas.microsoft.com/office/2017/10/relationships/person" Target="persons/person33.xml"/><Relationship Id="rId60" Type="http://schemas.microsoft.com/office/2017/10/relationships/person" Target="persons/person41.xml"/><Relationship Id="rId65" Type="http://schemas.microsoft.com/office/2017/10/relationships/person" Target="persons/person47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56" Type="http://schemas.microsoft.com/office/2017/10/relationships/person" Target="persons/person43.xml"/><Relationship Id="rId48" Type="http://schemas.microsoft.com/office/2017/10/relationships/person" Target="persons/person30.xml"/><Relationship Id="rId43" Type="http://schemas.microsoft.com/office/2017/10/relationships/person" Target="persons/person29.xml"/><Relationship Id="rId35" Type="http://schemas.microsoft.com/office/2017/10/relationships/person" Target="persons/person23.xml"/><Relationship Id="rId27" Type="http://schemas.microsoft.com/office/2017/10/relationships/person" Target="persons/person18.xml"/><Relationship Id="rId30" Type="http://schemas.microsoft.com/office/2017/10/relationships/person" Target="persons/person14.xml"/><Relationship Id="rId22" Type="http://schemas.microsoft.com/office/2017/10/relationships/person" Target="persons/person10.xml"/><Relationship Id="rId64" Type="http://schemas.microsoft.com/office/2017/10/relationships/person" Target="persons/person46.xml"/><Relationship Id="rId8" Type="http://schemas.microsoft.com/office/2017/10/relationships/person" Target="persons/person.xml"/><Relationship Id="rId51" Type="http://schemas.microsoft.com/office/2017/10/relationships/person" Target="persons/person37.xml"/><Relationship Id="rId3" Type="http://schemas.openxmlformats.org/officeDocument/2006/relationships/worksheet" Target="worksheets/sheet3.xml"/><Relationship Id="rId67" Type="http://schemas.microsoft.com/office/2017/10/relationships/person" Target="persons/person51.xml"/><Relationship Id="rId17" Type="http://schemas.microsoft.com/office/2017/10/relationships/person" Target="persons/person48.xml"/><Relationship Id="rId25" Type="http://schemas.microsoft.com/office/2017/10/relationships/person" Target="persons/person9.xml"/><Relationship Id="rId33" Type="http://schemas.microsoft.com/office/2017/10/relationships/person" Target="persons/person16.xml"/><Relationship Id="rId38" Type="http://schemas.microsoft.com/office/2017/10/relationships/person" Target="persons/person21.xml"/><Relationship Id="rId46" Type="http://schemas.microsoft.com/office/2017/10/relationships/person" Target="persons/person3.xml"/><Relationship Id="rId59" Type="http://schemas.microsoft.com/office/2017/10/relationships/person" Target="persons/person4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3"/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Janeiro_2023!$L$2:$L$32</c:f>
              <c:numCache>
                <c:formatCode>_-[$$-409]* #,##0.00_ ;_-[$$-409]* \-#,##0.00\ ;_-[$$-409]* "-"??_ ;_-@_ </c:formatCode>
                <c:ptCount val="31"/>
                <c:pt idx="0">
                  <c:v>5.6884722222222219</c:v>
                </c:pt>
                <c:pt idx="1">
                  <c:v>9.1009722215530928</c:v>
                </c:pt>
                <c:pt idx="2">
                  <c:v>4.3312500003667083</c:v>
                </c:pt>
                <c:pt idx="3">
                  <c:v>2.8437499997962732</c:v>
                </c:pt>
                <c:pt idx="4">
                  <c:v>10.765416667592945</c:v>
                </c:pt>
                <c:pt idx="5">
                  <c:v>1.7499999995925464</c:v>
                </c:pt>
                <c:pt idx="6">
                  <c:v>2.6852777777850214</c:v>
                </c:pt>
                <c:pt idx="7">
                  <c:v>4.5859722222376149</c:v>
                </c:pt>
                <c:pt idx="8">
                  <c:v>4.1056944458687212</c:v>
                </c:pt>
                <c:pt idx="9">
                  <c:v>26.425000000000001</c:v>
                </c:pt>
                <c:pt idx="10">
                  <c:v>3.0381944450782612</c:v>
                </c:pt>
                <c:pt idx="11">
                  <c:v>15.230833334208</c:v>
                </c:pt>
                <c:pt idx="12">
                  <c:v>0.96541666681878269</c:v>
                </c:pt>
                <c:pt idx="13">
                  <c:v>5.9500000022817403</c:v>
                </c:pt>
                <c:pt idx="14">
                  <c:v>5.0691666671773419</c:v>
                </c:pt>
                <c:pt idx="15">
                  <c:v>5.9694444445485715</c:v>
                </c:pt>
                <c:pt idx="16">
                  <c:v>9.0387500001104648</c:v>
                </c:pt>
                <c:pt idx="17">
                  <c:v>7</c:v>
                </c:pt>
                <c:pt idx="18">
                  <c:v>6.6587499986635521</c:v>
                </c:pt>
                <c:pt idx="19">
                  <c:v>12.672916666666667</c:v>
                </c:pt>
                <c:pt idx="20">
                  <c:v>5.8576388891378883</c:v>
                </c:pt>
                <c:pt idx="21">
                  <c:v>5.6544444442552049</c:v>
                </c:pt>
                <c:pt idx="22">
                  <c:v>0.77388888949644752</c:v>
                </c:pt>
                <c:pt idx="23">
                  <c:v>3.3901388890898994</c:v>
                </c:pt>
                <c:pt idx="24">
                  <c:v>0.62513888895045966</c:v>
                </c:pt>
                <c:pt idx="25">
                  <c:v>1.7081944446545094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4.6530555569408989</c:v>
                </c:pt>
                <c:pt idx="30">
                  <c:v>4.6141666671610437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FE-4F56-8896-B88A1EE18AA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32070495"/>
        <c:axId val="932062591"/>
      </c:lineChart>
      <c:catAx>
        <c:axId val="932070495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932062591"/>
        <c:crosses val="autoZero"/>
        <c:auto val="1"/>
        <c:lblAlgn val="ctr"/>
        <c:lblOffset val="100"/>
        <c:noMultiLvlLbl val="0"/>
      </c:catAx>
      <c:valAx>
        <c:axId val="93206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2070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3"/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Fevereiro_2023!$L$2:$L$29</c:f>
              <c:numCache>
                <c:formatCode>_-[$$-409]* #.##000_ ;_-[$$-409]* \-#.##000\ ;_-[$$-409]* "-"??_ ;_-@_ </c:formatCode>
                <c:ptCount val="28"/>
                <c:pt idx="0">
                  <c:v>10.786805555536541</c:v>
                </c:pt>
                <c:pt idx="1">
                  <c:v>2.7883333336212672</c:v>
                </c:pt>
                <c:pt idx="2">
                  <c:v>3.4883333346806467</c:v>
                </c:pt>
                <c:pt idx="3">
                  <c:v>1.5711111110576894</c:v>
                </c:pt>
                <c:pt idx="4">
                  <c:v>2.1155555556470063</c:v>
                </c:pt>
                <c:pt idx="5">
                  <c:v>0.3558333333930932</c:v>
                </c:pt>
                <c:pt idx="6">
                  <c:v>15.874444446031703</c:v>
                </c:pt>
                <c:pt idx="7">
                  <c:v>2.2293055555555554</c:v>
                </c:pt>
                <c:pt idx="8">
                  <c:v>0.36166666686767712</c:v>
                </c:pt>
                <c:pt idx="9">
                  <c:v>0</c:v>
                </c:pt>
                <c:pt idx="10">
                  <c:v>0.62027777792536654</c:v>
                </c:pt>
                <c:pt idx="11">
                  <c:v>1.6245833329448942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12.510555554938037</c:v>
                </c:pt>
                <c:pt idx="20">
                  <c:v>21.736944443138782</c:v>
                </c:pt>
                <c:pt idx="21">
                  <c:v>29.471944444638211</c:v>
                </c:pt>
                <c:pt idx="22">
                  <c:v>24.695416666916572</c:v>
                </c:pt>
                <c:pt idx="23">
                  <c:v>28.181805554864695</c:v>
                </c:pt>
                <c:pt idx="24">
                  <c:v>7.9119444451353047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B3-4AB7-B996-AF29ED50326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32070495"/>
        <c:axId val="932062591"/>
      </c:lineChart>
      <c:catAx>
        <c:axId val="932070495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932062591"/>
        <c:crosses val="autoZero"/>
        <c:auto val="1"/>
        <c:lblAlgn val="ctr"/>
        <c:lblOffset val="100"/>
        <c:noMultiLvlLbl val="0"/>
      </c:catAx>
      <c:valAx>
        <c:axId val="93206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_-[$$-409]* #.##000_ ;_-[$$-409]* \-#.##000\ ;_-[$$-409]* &quot;-&quot;??_ ;_-@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2070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8</xdr:row>
      <xdr:rowOff>66675</xdr:rowOff>
    </xdr:from>
    <xdr:to>
      <xdr:col>11</xdr:col>
      <xdr:colOff>9526</xdr:colOff>
      <xdr:row>22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247650</xdr:colOff>
      <xdr:row>0</xdr:row>
      <xdr:rowOff>47625</xdr:rowOff>
    </xdr:from>
    <xdr:to>
      <xdr:col>8</xdr:col>
      <xdr:colOff>605064</xdr:colOff>
      <xdr:row>1</xdr:row>
      <xdr:rowOff>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353175" y="47625"/>
          <a:ext cx="2071914" cy="342900"/>
          <a:chOff x="6137138" y="28575"/>
          <a:chExt cx="2100623" cy="276225"/>
        </a:xfrm>
      </xdr:grpSpPr>
      <xdr:sp macro="" textlink="">
        <xdr:nvSpPr>
          <xdr:cNvPr id="10241" name="Button 1" hidden="1">
            <a:extLst>
              <a:ext uri="{63B3BB69-23CF-44E3-9099-C40C66FF867C}">
                <a14:compatExt xmlns:a14="http://schemas.microsoft.com/office/drawing/2010/main" spid="_x0000_s10241"/>
              </a:ext>
              <a:ext uri="{FF2B5EF4-FFF2-40B4-BE49-F238E27FC236}">
                <a16:creationId xmlns:a16="http://schemas.microsoft.com/office/drawing/2014/main" id="{00000000-0008-0000-0100-000001280000}"/>
              </a:ext>
            </a:extLst>
          </xdr:cNvPr>
          <xdr:cNvSpPr/>
        </xdr:nvSpPr>
        <xdr:spPr bwMode="auto">
          <a:xfrm>
            <a:off x="6137138" y="28575"/>
            <a:ext cx="949503" cy="276087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Entrada</a:t>
            </a:r>
          </a:p>
          <a:p>
            <a:pPr algn="ctr" rtl="0">
              <a:defRPr sz="1000"/>
            </a:pPr>
            <a:endPara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endParaRPr>
          </a:p>
        </xdr:txBody>
      </xdr:sp>
      <xdr:sp macro="" textlink="">
        <xdr:nvSpPr>
          <xdr:cNvPr id="10242" name="Button 2" hidden="1">
            <a:extLst>
              <a:ext uri="{63B3BB69-23CF-44E3-9099-C40C66FF867C}">
                <a14:compatExt xmlns:a14="http://schemas.microsoft.com/office/drawing/2010/main" spid="_x0000_s10242"/>
              </a:ext>
              <a:ext uri="{FF2B5EF4-FFF2-40B4-BE49-F238E27FC236}">
                <a16:creationId xmlns:a16="http://schemas.microsoft.com/office/drawing/2014/main" id="{00000000-0008-0000-0100-000002280000}"/>
              </a:ext>
            </a:extLst>
          </xdr:cNvPr>
          <xdr:cNvSpPr/>
        </xdr:nvSpPr>
        <xdr:spPr bwMode="auto">
          <a:xfrm>
            <a:off x="7277254" y="28713"/>
            <a:ext cx="960507" cy="276087"/>
          </a:xfrm>
          <a:prstGeom prst="rect">
            <a:avLst/>
          </a:prstGeom>
          <a:noFill/>
          <a:ln w="9525">
            <a:miter lim="800000"/>
            <a:headEnd/>
            <a:tailEnd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Saida</a:t>
            </a:r>
          </a:p>
          <a:p>
            <a:pPr algn="ctr" rtl="0">
              <a:defRPr sz="1000"/>
            </a:pPr>
            <a:endPara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endParaRP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0</xdr:row>
          <xdr:rowOff>47625</xdr:rowOff>
        </xdr:from>
        <xdr:to>
          <xdr:col>8</xdr:col>
          <xdr:colOff>609600</xdr:colOff>
          <xdr:row>1</xdr:row>
          <xdr:rowOff>0</xdr:rowOff>
        </xdr:to>
        <xdr:grpSp>
          <xdr:nvGrpSpPr>
            <xdr:cNvPr id="10250" name="Group 10">
              <a:extLs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353175" y="47625"/>
              <a:ext cx="2076450" cy="342900"/>
              <a:chOff x="61371" y="285"/>
              <a:chExt cx="21006" cy="2763"/>
            </a:xfrm>
          </xdr:grpSpPr>
          <xdr:sp macro="" textlink="">
            <xdr:nvSpPr>
              <xdr:cNvPr id="4" name="Button 1" hidden="1">
                <a:extLst>
                  <a:ext uri="{63B3BB69-23CF-44E3-9099-C40C66FF867C}">
                    <a14:compatExt spid="_x0000_s10241"/>
                  </a:ext>
                  <a:ext uri="{FF2B5EF4-FFF2-40B4-BE49-F238E27FC236}">
                    <a16:creationId xmlns:a16="http://schemas.microsoft.com/office/drawing/2014/main" id="{00000000-0008-0000-0100-000004000000}"/>
                  </a:ext>
                </a:extLst>
              </xdr:cNvPr>
              <xdr:cNvSpPr/>
            </xdr:nvSpPr>
            <xdr:spPr bwMode="auto">
              <a:xfrm>
                <a:off x="61371" y="285"/>
                <a:ext cx="9495" cy="276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Entrada</a:t>
                </a: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  <xdr:sp macro="" textlink="">
            <xdr:nvSpPr>
              <xdr:cNvPr id="5" name="Button 2" hidden="1">
                <a:extLst>
                  <a:ext uri="{63B3BB69-23CF-44E3-9099-C40C66FF867C}">
                    <a14:compatExt spid="_x0000_s10242"/>
                  </a:ext>
                  <a:ext uri="{FF2B5EF4-FFF2-40B4-BE49-F238E27FC236}">
                    <a16:creationId xmlns:a16="http://schemas.microsoft.com/office/drawing/2014/main" id="{00000000-0008-0000-0100-000005000000}"/>
                  </a:ext>
                </a:extLst>
              </xdr:cNvPr>
              <xdr:cNvSpPr/>
            </xdr:nvSpPr>
            <xdr:spPr bwMode="auto">
              <a:xfrm>
                <a:off x="72772" y="287"/>
                <a:ext cx="9605" cy="276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Saida</a:t>
                </a: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8</xdr:row>
      <xdr:rowOff>66675</xdr:rowOff>
    </xdr:from>
    <xdr:to>
      <xdr:col>11</xdr:col>
      <xdr:colOff>9526</xdr:colOff>
      <xdr:row>22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0</xdr:row>
          <xdr:rowOff>47625</xdr:rowOff>
        </xdr:from>
        <xdr:to>
          <xdr:col>8</xdr:col>
          <xdr:colOff>605064</xdr:colOff>
          <xdr:row>1</xdr:row>
          <xdr:rowOff>0</xdr:rowOff>
        </xdr:to>
        <xdr:grpSp>
          <xdr:nvGrpSpPr>
            <xdr:cNvPr id="3" name="Agrupar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pSpPr/>
          </xdr:nvGrpSpPr>
          <xdr:grpSpPr>
            <a:xfrm>
              <a:off x="6353175" y="47625"/>
              <a:ext cx="2071914" cy="342900"/>
              <a:chOff x="6137146" y="28575"/>
              <a:chExt cx="2100647" cy="276225"/>
            </a:xfrm>
          </xdr:grpSpPr>
          <xdr:sp macro="" textlink="">
            <xdr:nvSpPr>
              <xdr:cNvPr id="12289" name="Button 1" hidden="1">
                <a:extLst>
                  <a:ext uri="{63B3BB69-23CF-44E3-9099-C40C66FF867C}">
                    <a14:compatExt spid="_x0000_s12289"/>
                  </a:ext>
                  <a:ext uri="{FF2B5EF4-FFF2-40B4-BE49-F238E27FC236}">
                    <a16:creationId xmlns:a16="http://schemas.microsoft.com/office/drawing/2014/main" id="{00000000-0008-0000-0200-000001300000}"/>
                  </a:ext>
                </a:extLst>
              </xdr:cNvPr>
              <xdr:cNvSpPr/>
            </xdr:nvSpPr>
            <xdr:spPr bwMode="auto">
              <a:xfrm>
                <a:off x="6137146" y="28575"/>
                <a:ext cx="949514" cy="27608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Entrada</a:t>
                </a: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  <xdr:sp macro="" textlink="">
            <xdr:nvSpPr>
              <xdr:cNvPr id="12290" name="Button 2" hidden="1">
                <a:extLst>
                  <a:ext uri="{63B3BB69-23CF-44E3-9099-C40C66FF867C}">
                    <a14:compatExt spid="_x0000_s12290"/>
                  </a:ext>
                  <a:ext uri="{FF2B5EF4-FFF2-40B4-BE49-F238E27FC236}">
                    <a16:creationId xmlns:a16="http://schemas.microsoft.com/office/drawing/2014/main" id="{00000000-0008-0000-0200-000002300000}"/>
                  </a:ext>
                </a:extLst>
              </xdr:cNvPr>
              <xdr:cNvSpPr/>
            </xdr:nvSpPr>
            <xdr:spPr bwMode="auto">
              <a:xfrm>
                <a:off x="7277289" y="28713"/>
                <a:ext cx="960504" cy="27608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Saida</a:t>
                </a:r>
              </a:p>
              <a:p>
                <a:pPr algn="ctr" rtl="0">
                  <a:defRPr sz="1000"/>
                </a:pPr>
                <a:endPara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xdr:grp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persons/person12.xml><?xml version="1.0" encoding="utf-8"?>
<personList xmlns="http://schemas.microsoft.com/office/spreadsheetml/2018/threadedcomments" xmlns:x="http://schemas.openxmlformats.org/spreadsheetml/2006/main"/>
</file>

<file path=xl/persons/person13.xml><?xml version="1.0" encoding="utf-8"?>
<personList xmlns="http://schemas.microsoft.com/office/spreadsheetml/2018/threadedcomments" xmlns:x="http://schemas.openxmlformats.org/spreadsheetml/2006/main"/>
</file>

<file path=xl/persons/person14.xml><?xml version="1.0" encoding="utf-8"?>
<personList xmlns="http://schemas.microsoft.com/office/spreadsheetml/2018/threadedcomments" xmlns:x="http://schemas.openxmlformats.org/spreadsheetml/2006/main"/>
</file>

<file path=xl/persons/person15.xml><?xml version="1.0" encoding="utf-8"?>
<personList xmlns="http://schemas.microsoft.com/office/spreadsheetml/2018/threadedcomments" xmlns:x="http://schemas.openxmlformats.org/spreadsheetml/2006/main"/>
</file>

<file path=xl/persons/person16.xml><?xml version="1.0" encoding="utf-8"?>
<personList xmlns="http://schemas.microsoft.com/office/spreadsheetml/2018/threadedcomments" xmlns:x="http://schemas.openxmlformats.org/spreadsheetml/2006/main"/>
</file>

<file path=xl/persons/person17.xml><?xml version="1.0" encoding="utf-8"?>
<personList xmlns="http://schemas.microsoft.com/office/spreadsheetml/2018/threadedcomments" xmlns:x="http://schemas.openxmlformats.org/spreadsheetml/2006/main"/>
</file>

<file path=xl/persons/person18.xml><?xml version="1.0" encoding="utf-8"?>
<personList xmlns="http://schemas.microsoft.com/office/spreadsheetml/2018/threadedcomments" xmlns:x="http://schemas.openxmlformats.org/spreadsheetml/2006/main"/>
</file>

<file path=xl/persons/person19.xml><?xml version="1.0" encoding="utf-8"?>
<personList xmlns="http://schemas.microsoft.com/office/spreadsheetml/2018/threadedcomments" xmlns:x="http://schemas.openxmlformats.org/spreadsheetml/2006/main"/>
</file>

<file path=xl/persons/person20.xml><?xml version="1.0" encoding="utf-8"?>
<personList xmlns="http://schemas.microsoft.com/office/spreadsheetml/2018/threadedcomments" xmlns:x="http://schemas.openxmlformats.org/spreadsheetml/2006/main"/>
</file>

<file path=xl/persons/person21.xml><?xml version="1.0" encoding="utf-8"?>
<personList xmlns="http://schemas.microsoft.com/office/spreadsheetml/2018/threadedcomments" xmlns:x="http://schemas.openxmlformats.org/spreadsheetml/2006/main"/>
</file>

<file path=xl/persons/person22.xml><?xml version="1.0" encoding="utf-8"?>
<personList xmlns="http://schemas.microsoft.com/office/spreadsheetml/2018/threadedcomments" xmlns:x="http://schemas.openxmlformats.org/spreadsheetml/2006/main"/>
</file>

<file path=xl/persons/person23.xml><?xml version="1.0" encoding="utf-8"?>
<personList xmlns="http://schemas.microsoft.com/office/spreadsheetml/2018/threadedcomments" xmlns:x="http://schemas.openxmlformats.org/spreadsheetml/2006/main"/>
</file>

<file path=xl/persons/person24.xml><?xml version="1.0" encoding="utf-8"?>
<personList xmlns="http://schemas.microsoft.com/office/spreadsheetml/2018/threadedcomments" xmlns:x="http://schemas.openxmlformats.org/spreadsheetml/2006/main"/>
</file>

<file path=xl/persons/person25.xml><?xml version="1.0" encoding="utf-8"?>
<personList xmlns="http://schemas.microsoft.com/office/spreadsheetml/2018/threadedcomments" xmlns:x="http://schemas.openxmlformats.org/spreadsheetml/2006/main"/>
</file>

<file path=xl/persons/person26.xml><?xml version="1.0" encoding="utf-8"?>
<personList xmlns="http://schemas.microsoft.com/office/spreadsheetml/2018/threadedcomments" xmlns:x="http://schemas.openxmlformats.org/spreadsheetml/2006/main"/>
</file>

<file path=xl/persons/person27.xml><?xml version="1.0" encoding="utf-8"?>
<personList xmlns="http://schemas.microsoft.com/office/spreadsheetml/2018/threadedcomments" xmlns:x="http://schemas.openxmlformats.org/spreadsheetml/2006/main"/>
</file>

<file path=xl/persons/person28.xml><?xml version="1.0" encoding="utf-8"?>
<personList xmlns="http://schemas.microsoft.com/office/spreadsheetml/2018/threadedcomments" xmlns:x="http://schemas.openxmlformats.org/spreadsheetml/2006/main"/>
</file>

<file path=xl/persons/person29.xml><?xml version="1.0" encoding="utf-8"?>
<personList xmlns="http://schemas.microsoft.com/office/spreadsheetml/2018/threadedcomments" xmlns:x="http://schemas.openxmlformats.org/spreadsheetml/2006/main"/>
</file>

<file path=xl/persons/person30.xml><?xml version="1.0" encoding="utf-8"?>
<personList xmlns="http://schemas.microsoft.com/office/spreadsheetml/2018/threadedcomments" xmlns:x="http://schemas.openxmlformats.org/spreadsheetml/2006/main"/>
</file>

<file path=xl/persons/person31.xml><?xml version="1.0" encoding="utf-8"?>
<personList xmlns="http://schemas.microsoft.com/office/spreadsheetml/2018/threadedcomments" xmlns:x="http://schemas.openxmlformats.org/spreadsheetml/2006/main"/>
</file>

<file path=xl/persons/person32.xml><?xml version="1.0" encoding="utf-8"?>
<personList xmlns="http://schemas.microsoft.com/office/spreadsheetml/2018/threadedcomments" xmlns:x="http://schemas.openxmlformats.org/spreadsheetml/2006/main"/>
</file>

<file path=xl/persons/person33.xml><?xml version="1.0" encoding="utf-8"?>
<personList xmlns="http://schemas.microsoft.com/office/spreadsheetml/2018/threadedcomments" xmlns:x="http://schemas.openxmlformats.org/spreadsheetml/2006/main"/>
</file>

<file path=xl/persons/person34.xml><?xml version="1.0" encoding="utf-8"?>
<personList xmlns="http://schemas.microsoft.com/office/spreadsheetml/2018/threadedcomments" xmlns:x="http://schemas.openxmlformats.org/spreadsheetml/2006/main"/>
</file>

<file path=xl/persons/person35.xml><?xml version="1.0" encoding="utf-8"?>
<personList xmlns="http://schemas.microsoft.com/office/spreadsheetml/2018/threadedcomments" xmlns:x="http://schemas.openxmlformats.org/spreadsheetml/2006/main"/>
</file>

<file path=xl/persons/person36.xml><?xml version="1.0" encoding="utf-8"?>
<personList xmlns="http://schemas.microsoft.com/office/spreadsheetml/2018/threadedcomments" xmlns:x="http://schemas.openxmlformats.org/spreadsheetml/2006/main"/>
</file>

<file path=xl/persons/person37.xml><?xml version="1.0" encoding="utf-8"?>
<personList xmlns="http://schemas.microsoft.com/office/spreadsheetml/2018/threadedcomments" xmlns:x="http://schemas.openxmlformats.org/spreadsheetml/2006/main"/>
</file>

<file path=xl/persons/person38.xml><?xml version="1.0" encoding="utf-8"?>
<personList xmlns="http://schemas.microsoft.com/office/spreadsheetml/2018/threadedcomments" xmlns:x="http://schemas.openxmlformats.org/spreadsheetml/2006/main"/>
</file>

<file path=xl/persons/person39.xml><?xml version="1.0" encoding="utf-8"?>
<personList xmlns="http://schemas.microsoft.com/office/spreadsheetml/2018/threadedcomments" xmlns:x="http://schemas.openxmlformats.org/spreadsheetml/2006/main"/>
</file>

<file path=xl/persons/person40.xml><?xml version="1.0" encoding="utf-8"?>
<personList xmlns="http://schemas.microsoft.com/office/spreadsheetml/2018/threadedcomments" xmlns:x="http://schemas.openxmlformats.org/spreadsheetml/2006/main"/>
</file>

<file path=xl/persons/person41.xml><?xml version="1.0" encoding="utf-8"?>
<personList xmlns="http://schemas.microsoft.com/office/spreadsheetml/2018/threadedcomments" xmlns:x="http://schemas.openxmlformats.org/spreadsheetml/2006/main"/>
</file>

<file path=xl/persons/person42.xml><?xml version="1.0" encoding="utf-8"?>
<personList xmlns="http://schemas.microsoft.com/office/spreadsheetml/2018/threadedcomments" xmlns:x="http://schemas.openxmlformats.org/spreadsheetml/2006/main"/>
</file>

<file path=xl/persons/person43.xml><?xml version="1.0" encoding="utf-8"?>
<personList xmlns="http://schemas.microsoft.com/office/spreadsheetml/2018/threadedcomments" xmlns:x="http://schemas.openxmlformats.org/spreadsheetml/2006/main"/>
</file>

<file path=xl/persons/person44.xml><?xml version="1.0" encoding="utf-8"?>
<personList xmlns="http://schemas.microsoft.com/office/spreadsheetml/2018/threadedcomments" xmlns:x="http://schemas.openxmlformats.org/spreadsheetml/2006/main"/>
</file>

<file path=xl/persons/person45.xml><?xml version="1.0" encoding="utf-8"?>
<personList xmlns="http://schemas.microsoft.com/office/spreadsheetml/2018/threadedcomments" xmlns:x="http://schemas.openxmlformats.org/spreadsheetml/2006/main"/>
</file>

<file path=xl/persons/person46.xml><?xml version="1.0" encoding="utf-8"?>
<personList xmlns="http://schemas.microsoft.com/office/spreadsheetml/2018/threadedcomments" xmlns:x="http://schemas.openxmlformats.org/spreadsheetml/2006/main"/>
</file>

<file path=xl/persons/person47.xml><?xml version="1.0" encoding="utf-8"?>
<personList xmlns="http://schemas.microsoft.com/office/spreadsheetml/2018/threadedcomments" xmlns:x="http://schemas.openxmlformats.org/spreadsheetml/2006/main"/>
</file>

<file path=xl/persons/person48.xml><?xml version="1.0" encoding="utf-8"?>
<personList xmlns="http://schemas.microsoft.com/office/spreadsheetml/2018/threadedcomments" xmlns:x="http://schemas.openxmlformats.org/spreadsheetml/2006/main"/>
</file>

<file path=xl/persons/person49.xml><?xml version="1.0" encoding="utf-8"?>
<personList xmlns="http://schemas.microsoft.com/office/spreadsheetml/2018/threadedcomments" xmlns:x="http://schemas.openxmlformats.org/spreadsheetml/2006/main"/>
</file>

<file path=xl/persons/person50.xml><?xml version="1.0" encoding="utf-8"?>
<personList xmlns="http://schemas.microsoft.com/office/spreadsheetml/2018/threadedcomments" xmlns:x="http://schemas.openxmlformats.org/spreadsheetml/2006/main"/>
</file>

<file path=xl/persons/person51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F04C54D-5A78-425E-A28A-001F16AECD2A}" autoFormatId="16" applyNumberFormats="0" applyBorderFormats="0" applyFontFormats="0" applyPatternFormats="0" applyAlignmentFormats="0" applyWidthHeightFormats="0">
  <queryTableRefresh nextId="3">
    <queryTableFields count="2">
      <queryTableField id="1" name="Moeda" tableColumnId="1"/>
      <queryTableField id="2" name="Valor em real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D065C5-992C-45FA-A801-570D3593E3FA}" name="Table_1" displayName="Table_1" ref="A1:B6" tableType="queryTable" totalsRowShown="0">
  <autoFilter ref="A1:B6" xr:uid="{33D065C5-992C-45FA-A801-570D3593E3FA}"/>
  <tableColumns count="2">
    <tableColumn id="1" xr3:uid="{A38B3505-235E-430E-B845-2C94E9D647D0}" uniqueName="1" name="Moeda" queryTableFieldId="1" dataDxfId="0"/>
    <tableColumn id="2" xr3:uid="{6C510C5E-CB54-4054-BEB2-AC8B0CCE9D45}" uniqueName="2" name="Valor em real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C29A4-A7E3-432C-908A-7AC7B40B4113}">
  <sheetPr codeName="Planilha3"/>
  <dimension ref="A1:B6"/>
  <sheetViews>
    <sheetView workbookViewId="0">
      <selection activeCell="B2" sqref="B2"/>
    </sheetView>
  </sheetViews>
  <sheetFormatPr defaultRowHeight="15" x14ac:dyDescent="0.25"/>
  <cols>
    <col min="1" max="1" width="14.85546875" bestFit="1" customWidth="1"/>
    <col min="2" max="2" width="15.140625" bestFit="1" customWidth="1"/>
  </cols>
  <sheetData>
    <row r="1" spans="1:2" x14ac:dyDescent="0.25">
      <c r="A1" t="s">
        <v>6</v>
      </c>
      <c r="B1" t="s">
        <v>7</v>
      </c>
    </row>
    <row r="2" spans="1:2" x14ac:dyDescent="0.25">
      <c r="A2" t="s">
        <v>8</v>
      </c>
      <c r="B2">
        <v>5.1985000000000001</v>
      </c>
    </row>
    <row r="3" spans="1:2" x14ac:dyDescent="0.25">
      <c r="A3" t="s">
        <v>9</v>
      </c>
      <c r="B3">
        <v>5.3958000000000004</v>
      </c>
    </row>
    <row r="4" spans="1:2" x14ac:dyDescent="0.25">
      <c r="A4" t="s">
        <v>10</v>
      </c>
      <c r="B4">
        <v>5.1791</v>
      </c>
    </row>
    <row r="5" spans="1:2" x14ac:dyDescent="0.25">
      <c r="A5" t="s">
        <v>11</v>
      </c>
      <c r="B5">
        <v>5.49</v>
      </c>
    </row>
    <row r="6" spans="1:2" x14ac:dyDescent="0.25">
      <c r="A6" t="s">
        <v>12</v>
      </c>
      <c r="B6">
        <v>57597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BB931-B637-42D6-8F2D-EB257EA5B9AF}">
  <sheetPr codeName="Planilha7"/>
  <dimension ref="A1:M38"/>
  <sheetViews>
    <sheetView topLeftCell="A4" workbookViewId="0">
      <selection activeCell="D37" sqref="D37"/>
    </sheetView>
  </sheetViews>
  <sheetFormatPr defaultRowHeight="15" x14ac:dyDescent="0.25"/>
  <cols>
    <col min="1" max="1" width="12.140625" customWidth="1"/>
    <col min="2" max="2" width="17.140625" customWidth="1"/>
    <col min="3" max="3" width="14.28515625" customWidth="1"/>
    <col min="4" max="4" width="14" customWidth="1"/>
    <col min="5" max="5" width="12.5703125" customWidth="1"/>
    <col min="6" max="7" width="10.7109375" customWidth="1"/>
    <col min="8" max="8" width="25.7109375" customWidth="1"/>
    <col min="9" max="9" width="30.85546875" customWidth="1"/>
    <col min="10" max="10" width="34.42578125" customWidth="1"/>
    <col min="12" max="12" width="10.140625" customWidth="1"/>
    <col min="13" max="13" width="11" customWidth="1"/>
  </cols>
  <sheetData>
    <row r="1" spans="1:13" ht="30.75" customHeight="1" x14ac:dyDescent="0.25">
      <c r="A1" s="13" t="s">
        <v>0</v>
      </c>
      <c r="B1" s="13" t="s">
        <v>14</v>
      </c>
      <c r="C1" s="13"/>
      <c r="D1" s="13"/>
      <c r="E1" s="14" t="s">
        <v>0</v>
      </c>
      <c r="F1" s="15" t="s">
        <v>1</v>
      </c>
      <c r="G1" s="15" t="s">
        <v>3</v>
      </c>
    </row>
    <row r="2" spans="1:13" x14ac:dyDescent="0.25">
      <c r="A2" s="1">
        <v>44927</v>
      </c>
      <c r="B2" s="2">
        <v>6.7719907407407409E-2</v>
      </c>
      <c r="C2" t="s">
        <v>2</v>
      </c>
      <c r="D2" s="2" t="e">
        <f>SUM(B2)+SUM(#REF!)</f>
        <v>#REF!</v>
      </c>
      <c r="E2" s="18">
        <v>44927</v>
      </c>
      <c r="F2" s="8">
        <v>0</v>
      </c>
      <c r="G2" s="8">
        <v>0</v>
      </c>
      <c r="L2" s="16">
        <f t="shared" ref="L2:L32" si="0">B2*24*$B$37</f>
        <v>5.6884722222222219</v>
      </c>
      <c r="M2" s="4">
        <f>L2*$B$38</f>
        <v>29.571522847222223</v>
      </c>
    </row>
    <row r="3" spans="1:13" x14ac:dyDescent="0.25">
      <c r="A3" s="1">
        <v>44928</v>
      </c>
      <c r="B3" s="2">
        <v>0.10834490739944158</v>
      </c>
      <c r="D3" s="16" t="e">
        <f>D2*24*B37</f>
        <v>#REF!</v>
      </c>
      <c r="E3" s="18">
        <v>44928</v>
      </c>
      <c r="F3" s="8">
        <v>0</v>
      </c>
      <c r="G3" s="8">
        <v>0</v>
      </c>
      <c r="L3" s="16">
        <f t="shared" si="0"/>
        <v>9.1009722215530928</v>
      </c>
      <c r="M3" s="4">
        <f t="shared" ref="M3:M32" si="1">L3*$B$38</f>
        <v>47.311404093743754</v>
      </c>
    </row>
    <row r="4" spans="1:13" x14ac:dyDescent="0.25">
      <c r="A4" s="1">
        <v>44929</v>
      </c>
      <c r="B4" s="2">
        <v>5.1562500004365575E-2</v>
      </c>
      <c r="E4" s="18">
        <v>44929</v>
      </c>
      <c r="F4" s="8">
        <v>0</v>
      </c>
      <c r="G4" s="8">
        <v>0</v>
      </c>
      <c r="L4" s="16">
        <f t="shared" si="0"/>
        <v>4.3312500003667083</v>
      </c>
      <c r="M4" s="4">
        <f t="shared" si="1"/>
        <v>22.516003126906334</v>
      </c>
    </row>
    <row r="5" spans="1:13" x14ac:dyDescent="0.25">
      <c r="A5" s="1">
        <v>44930</v>
      </c>
      <c r="B5" s="2">
        <v>3.3854166664241347E-2</v>
      </c>
      <c r="E5" s="18">
        <v>44930</v>
      </c>
      <c r="F5" s="8">
        <v>0</v>
      </c>
      <c r="G5" s="8">
        <v>0</v>
      </c>
      <c r="L5" s="16">
        <f t="shared" si="0"/>
        <v>2.8437499997962732</v>
      </c>
      <c r="M5" s="4">
        <f t="shared" si="1"/>
        <v>14.783234373940926</v>
      </c>
    </row>
    <row r="6" spans="1:13" x14ac:dyDescent="0.25">
      <c r="A6" s="1">
        <v>44931</v>
      </c>
      <c r="B6" s="2">
        <v>0.12815972223324934</v>
      </c>
      <c r="E6" s="18">
        <v>44931</v>
      </c>
      <c r="F6" s="8">
        <v>0</v>
      </c>
      <c r="G6" s="8">
        <v>0</v>
      </c>
      <c r="L6" s="16">
        <f t="shared" si="0"/>
        <v>10.765416667592945</v>
      </c>
      <c r="M6" s="4">
        <f t="shared" si="1"/>
        <v>55.964018546481924</v>
      </c>
    </row>
    <row r="7" spans="1:13" x14ac:dyDescent="0.25">
      <c r="A7" s="1">
        <v>44932</v>
      </c>
      <c r="B7" s="2">
        <v>2.0833333328482695E-2</v>
      </c>
      <c r="E7" s="18">
        <v>44932</v>
      </c>
      <c r="F7" s="8">
        <v>0</v>
      </c>
      <c r="G7" s="8">
        <v>0</v>
      </c>
      <c r="H7" s="6"/>
      <c r="L7" s="16">
        <f t="shared" si="0"/>
        <v>1.7499999995925464</v>
      </c>
      <c r="M7" s="4">
        <f t="shared" si="1"/>
        <v>9.0973749978818521</v>
      </c>
    </row>
    <row r="8" spans="1:13" x14ac:dyDescent="0.25">
      <c r="A8" s="1">
        <v>44933</v>
      </c>
      <c r="B8" s="2">
        <v>3.1967592592678826E-2</v>
      </c>
      <c r="E8" s="18">
        <v>44933</v>
      </c>
      <c r="F8" s="8">
        <v>0</v>
      </c>
      <c r="G8" s="8">
        <v>0</v>
      </c>
      <c r="H8" s="7"/>
      <c r="L8" s="16">
        <f t="shared" si="0"/>
        <v>2.6852777777850214</v>
      </c>
      <c r="M8" s="4">
        <f t="shared" si="1"/>
        <v>13.959416527815435</v>
      </c>
    </row>
    <row r="9" spans="1:13" x14ac:dyDescent="0.25">
      <c r="A9" s="1">
        <v>44934</v>
      </c>
      <c r="B9" s="2">
        <v>5.4594907407590654E-2</v>
      </c>
      <c r="C9" t="s">
        <v>2</v>
      </c>
      <c r="D9" s="2">
        <f>SUM(B3:B9)</f>
        <v>0.42931712963005003</v>
      </c>
      <c r="E9" s="18">
        <v>44934</v>
      </c>
      <c r="F9" s="8">
        <v>0</v>
      </c>
      <c r="G9" s="8">
        <v>0</v>
      </c>
      <c r="L9" s="16">
        <f t="shared" si="0"/>
        <v>4.5859722222376149</v>
      </c>
      <c r="M9" s="4">
        <f t="shared" si="1"/>
        <v>23.840176597302243</v>
      </c>
    </row>
    <row r="10" spans="1:13" x14ac:dyDescent="0.25">
      <c r="A10" s="1">
        <v>44935</v>
      </c>
      <c r="B10" s="2">
        <v>4.8877314831770491E-2</v>
      </c>
      <c r="D10" s="3">
        <f>D9*24*B37</f>
        <v>36.062638888924205</v>
      </c>
      <c r="E10" s="18">
        <v>44935</v>
      </c>
      <c r="F10" s="8">
        <v>0</v>
      </c>
      <c r="G10" s="8">
        <v>0</v>
      </c>
      <c r="L10" s="16">
        <f t="shared" si="0"/>
        <v>4.1056944458687212</v>
      </c>
      <c r="M10" s="4">
        <f t="shared" si="1"/>
        <v>21.343452576848549</v>
      </c>
    </row>
    <row r="11" spans="1:13" x14ac:dyDescent="0.25">
      <c r="A11" s="1">
        <v>44936</v>
      </c>
      <c r="B11" s="2">
        <v>0.31458333333333333</v>
      </c>
      <c r="E11" s="18">
        <v>44936</v>
      </c>
      <c r="F11" s="8">
        <v>0</v>
      </c>
      <c r="G11" s="8">
        <v>0</v>
      </c>
      <c r="L11" s="16">
        <f t="shared" si="0"/>
        <v>26.425000000000001</v>
      </c>
      <c r="M11" s="4">
        <f t="shared" si="1"/>
        <v>137.3703625</v>
      </c>
    </row>
    <row r="12" spans="1:13" x14ac:dyDescent="0.25">
      <c r="A12" s="1">
        <v>44937</v>
      </c>
      <c r="B12" s="2">
        <v>3.6168981489026919E-2</v>
      </c>
      <c r="E12" s="18">
        <v>44937</v>
      </c>
      <c r="F12" s="8">
        <v>0</v>
      </c>
      <c r="G12" s="8">
        <v>0</v>
      </c>
      <c r="L12" s="16">
        <f t="shared" si="0"/>
        <v>3.0381944450782612</v>
      </c>
      <c r="M12" s="4">
        <f t="shared" si="1"/>
        <v>15.794053822739341</v>
      </c>
    </row>
    <row r="13" spans="1:13" x14ac:dyDescent="0.25">
      <c r="A13" s="1">
        <v>44938</v>
      </c>
      <c r="B13" s="2">
        <v>0.18131944445485715</v>
      </c>
      <c r="E13" s="18">
        <v>44938</v>
      </c>
      <c r="F13" s="8">
        <v>0</v>
      </c>
      <c r="G13" s="8">
        <v>0</v>
      </c>
      <c r="H13" s="9"/>
      <c r="L13" s="16">
        <f t="shared" si="0"/>
        <v>15.230833334208</v>
      </c>
      <c r="M13" s="4">
        <f t="shared" si="1"/>
        <v>79.177487087880294</v>
      </c>
    </row>
    <row r="14" spans="1:13" x14ac:dyDescent="0.25">
      <c r="A14" s="1">
        <v>44939</v>
      </c>
      <c r="B14" s="2">
        <v>1.1493055557366461E-2</v>
      </c>
      <c r="E14" s="18">
        <v>44939</v>
      </c>
      <c r="F14" s="8">
        <v>0</v>
      </c>
      <c r="G14" s="8">
        <v>0</v>
      </c>
      <c r="L14" s="16">
        <f t="shared" si="0"/>
        <v>0.96541666681878269</v>
      </c>
      <c r="M14" s="4">
        <f t="shared" si="1"/>
        <v>5.0187185424574423</v>
      </c>
    </row>
    <row r="15" spans="1:13" x14ac:dyDescent="0.25">
      <c r="A15" s="1">
        <v>44940</v>
      </c>
      <c r="B15" s="2">
        <v>7.0833333360496908E-2</v>
      </c>
      <c r="E15" s="18">
        <v>44940</v>
      </c>
      <c r="F15" s="8">
        <v>0</v>
      </c>
      <c r="G15" s="8">
        <v>0</v>
      </c>
      <c r="L15" s="16">
        <f t="shared" si="0"/>
        <v>5.9500000022817403</v>
      </c>
      <c r="M15" s="4">
        <f t="shared" si="1"/>
        <v>30.931075011861626</v>
      </c>
    </row>
    <row r="16" spans="1:13" x14ac:dyDescent="0.25">
      <c r="A16" s="1">
        <v>44941</v>
      </c>
      <c r="B16" s="2">
        <v>6.0347222228301689E-2</v>
      </c>
      <c r="C16" t="s">
        <v>2</v>
      </c>
      <c r="D16" s="2">
        <f>SUM(B10:B16)</f>
        <v>0.72362268525515294</v>
      </c>
      <c r="E16" s="18">
        <v>44941</v>
      </c>
      <c r="F16" s="8">
        <v>0</v>
      </c>
      <c r="G16" s="8">
        <v>0</v>
      </c>
      <c r="L16" s="16">
        <f t="shared" si="0"/>
        <v>5.0691666671773419</v>
      </c>
      <c r="M16" s="4">
        <f t="shared" si="1"/>
        <v>26.352062919321412</v>
      </c>
    </row>
    <row r="17" spans="1:13" x14ac:dyDescent="0.25">
      <c r="A17" s="1">
        <v>44942</v>
      </c>
      <c r="B17" s="2">
        <v>7.1064814816054422E-2</v>
      </c>
      <c r="D17" s="16">
        <f>D16*24*B37</f>
        <v>60.784305561432852</v>
      </c>
      <c r="E17" s="18">
        <v>44942</v>
      </c>
      <c r="F17" s="8">
        <v>0</v>
      </c>
      <c r="G17" s="8">
        <v>0</v>
      </c>
      <c r="L17" s="16">
        <f t="shared" si="0"/>
        <v>5.9694444445485715</v>
      </c>
      <c r="M17" s="4">
        <f t="shared" si="1"/>
        <v>31.032156944985751</v>
      </c>
    </row>
    <row r="18" spans="1:13" x14ac:dyDescent="0.25">
      <c r="A18" s="1">
        <v>44943</v>
      </c>
      <c r="B18" s="2">
        <v>0.10760416666798173</v>
      </c>
      <c r="E18" s="18">
        <v>44943</v>
      </c>
      <c r="F18" s="8">
        <v>0</v>
      </c>
      <c r="G18" s="8">
        <v>0</v>
      </c>
      <c r="L18" s="16">
        <f t="shared" si="0"/>
        <v>9.0387500001104648</v>
      </c>
      <c r="M18" s="4">
        <f t="shared" si="1"/>
        <v>46.987941875574251</v>
      </c>
    </row>
    <row r="19" spans="1:13" x14ac:dyDescent="0.25">
      <c r="A19" s="1">
        <v>44944</v>
      </c>
      <c r="B19" s="2">
        <v>8.3333333333333329E-2</v>
      </c>
      <c r="E19" s="18">
        <v>44944</v>
      </c>
      <c r="F19" s="8">
        <v>0</v>
      </c>
      <c r="G19" s="8">
        <v>0</v>
      </c>
      <c r="L19" s="16">
        <f t="shared" si="0"/>
        <v>7</v>
      </c>
      <c r="M19" s="4">
        <f t="shared" si="1"/>
        <v>36.389499999999998</v>
      </c>
    </row>
    <row r="20" spans="1:13" x14ac:dyDescent="0.25">
      <c r="A20" s="1">
        <v>44945</v>
      </c>
      <c r="B20" s="2">
        <v>7.9270833317423239E-2</v>
      </c>
      <c r="E20" s="18">
        <v>44945</v>
      </c>
      <c r="F20" s="8">
        <v>0</v>
      </c>
      <c r="G20" s="8">
        <v>0</v>
      </c>
      <c r="L20" s="16">
        <f t="shared" si="0"/>
        <v>6.6587499986635521</v>
      </c>
      <c r="M20" s="4">
        <f t="shared" si="1"/>
        <v>34.615511868052479</v>
      </c>
    </row>
    <row r="21" spans="1:13" x14ac:dyDescent="0.25">
      <c r="A21" s="1">
        <v>44946</v>
      </c>
      <c r="B21" s="2">
        <v>0.15086805555555557</v>
      </c>
      <c r="E21" s="18">
        <v>44946</v>
      </c>
      <c r="F21" s="8">
        <v>0</v>
      </c>
      <c r="G21" s="8">
        <v>0</v>
      </c>
      <c r="L21" s="16">
        <f t="shared" si="0"/>
        <v>12.672916666666667</v>
      </c>
      <c r="M21" s="4">
        <f t="shared" si="1"/>
        <v>65.880157291666677</v>
      </c>
    </row>
    <row r="22" spans="1:13" x14ac:dyDescent="0.25">
      <c r="A22" s="1">
        <v>44947</v>
      </c>
      <c r="B22" s="2">
        <v>6.9733796299260575E-2</v>
      </c>
      <c r="E22" s="18">
        <v>44947</v>
      </c>
      <c r="F22" s="8">
        <v>0</v>
      </c>
      <c r="G22" s="8">
        <v>0</v>
      </c>
      <c r="L22" s="16">
        <f t="shared" si="0"/>
        <v>5.8576388891378883</v>
      </c>
      <c r="M22" s="4">
        <f t="shared" si="1"/>
        <v>30.450935765183313</v>
      </c>
    </row>
    <row r="23" spans="1:13" x14ac:dyDescent="0.25">
      <c r="A23" s="1">
        <v>44948</v>
      </c>
      <c r="B23" s="2">
        <v>6.7314814812561963E-2</v>
      </c>
      <c r="C23" t="s">
        <v>2</v>
      </c>
      <c r="D23" s="2">
        <f>SUM(B17:B23)</f>
        <v>0.62918981480217084</v>
      </c>
      <c r="E23" s="18">
        <v>44948</v>
      </c>
      <c r="F23" s="8">
        <v>0</v>
      </c>
      <c r="G23" s="8">
        <v>0</v>
      </c>
      <c r="L23" s="16">
        <f t="shared" si="0"/>
        <v>5.6544444442552049</v>
      </c>
      <c r="M23" s="4">
        <f t="shared" si="1"/>
        <v>29.394629443460683</v>
      </c>
    </row>
    <row r="24" spans="1:13" x14ac:dyDescent="0.25">
      <c r="A24" s="1">
        <v>44949</v>
      </c>
      <c r="B24" s="2">
        <v>9.2129629701958038E-3</v>
      </c>
      <c r="D24" s="16">
        <f>D23*24*B37</f>
        <v>52.851944443382351</v>
      </c>
      <c r="E24" s="18">
        <v>44949</v>
      </c>
      <c r="F24" s="8">
        <v>0</v>
      </c>
      <c r="G24" s="8">
        <v>0</v>
      </c>
      <c r="L24" s="16">
        <f t="shared" si="0"/>
        <v>0.77388888949644752</v>
      </c>
      <c r="M24" s="4">
        <f t="shared" si="1"/>
        <v>4.0230613920472829</v>
      </c>
    </row>
    <row r="25" spans="1:13" x14ac:dyDescent="0.25">
      <c r="A25" s="1">
        <v>44950</v>
      </c>
      <c r="B25" s="2">
        <v>4.0358796298689277E-2</v>
      </c>
      <c r="E25" s="18">
        <v>44950</v>
      </c>
      <c r="F25" s="8">
        <v>0</v>
      </c>
      <c r="G25" s="8">
        <v>0</v>
      </c>
      <c r="L25" s="16">
        <f t="shared" si="0"/>
        <v>3.3901388890898994</v>
      </c>
      <c r="M25" s="4">
        <f t="shared" si="1"/>
        <v>17.623637014933841</v>
      </c>
    </row>
    <row r="26" spans="1:13" x14ac:dyDescent="0.25">
      <c r="A26" s="1">
        <v>44951</v>
      </c>
      <c r="B26" s="2">
        <v>7.442129630362615E-3</v>
      </c>
      <c r="E26" s="18">
        <v>44951</v>
      </c>
      <c r="F26" s="8">
        <v>0</v>
      </c>
      <c r="G26" s="8">
        <v>0</v>
      </c>
      <c r="L26" s="16">
        <f t="shared" si="0"/>
        <v>0.62513888895045966</v>
      </c>
      <c r="M26" s="4">
        <f t="shared" si="1"/>
        <v>3.2497845142089647</v>
      </c>
    </row>
    <row r="27" spans="1:13" x14ac:dyDescent="0.25">
      <c r="A27" s="1">
        <v>44952</v>
      </c>
      <c r="B27" s="2">
        <v>2.0335648150648922E-2</v>
      </c>
      <c r="E27" s="18">
        <v>44952</v>
      </c>
      <c r="F27" s="8">
        <v>0</v>
      </c>
      <c r="G27" s="8">
        <v>0</v>
      </c>
      <c r="L27" s="16">
        <f t="shared" si="0"/>
        <v>1.7081944446545094</v>
      </c>
      <c r="M27" s="4">
        <f t="shared" si="1"/>
        <v>8.8800488205364676</v>
      </c>
    </row>
    <row r="28" spans="1:13" x14ac:dyDescent="0.25">
      <c r="A28" s="1">
        <v>44953</v>
      </c>
      <c r="B28" s="2"/>
      <c r="E28" s="18">
        <v>44953</v>
      </c>
      <c r="F28" s="8"/>
      <c r="G28" s="8"/>
      <c r="L28" s="16">
        <f t="shared" si="0"/>
        <v>0</v>
      </c>
      <c r="M28" s="4">
        <f t="shared" si="1"/>
        <v>0</v>
      </c>
    </row>
    <row r="29" spans="1:13" x14ac:dyDescent="0.25">
      <c r="A29" s="1">
        <v>44954</v>
      </c>
      <c r="B29" s="2"/>
      <c r="E29" s="18">
        <v>44954</v>
      </c>
      <c r="F29" s="8"/>
      <c r="G29" s="8"/>
      <c r="L29" s="16">
        <f t="shared" si="0"/>
        <v>0</v>
      </c>
      <c r="M29" s="4">
        <f t="shared" si="1"/>
        <v>0</v>
      </c>
    </row>
    <row r="30" spans="1:13" x14ac:dyDescent="0.25">
      <c r="A30" s="1">
        <v>44955</v>
      </c>
      <c r="B30" s="2"/>
      <c r="C30" t="s">
        <v>2</v>
      </c>
      <c r="D30" s="17">
        <f>SUM(B24:B30)</f>
        <v>7.7349537049896611E-2</v>
      </c>
      <c r="E30" s="18">
        <v>44955</v>
      </c>
      <c r="F30" s="8"/>
      <c r="G30" s="8"/>
      <c r="L30" s="16">
        <f t="shared" si="0"/>
        <v>0</v>
      </c>
      <c r="M30" s="4">
        <f t="shared" si="1"/>
        <v>0</v>
      </c>
    </row>
    <row r="31" spans="1:13" x14ac:dyDescent="0.25">
      <c r="A31" s="1">
        <v>44956</v>
      </c>
      <c r="B31" s="2">
        <v>5.5393518535010691E-2</v>
      </c>
      <c r="D31" s="16">
        <f>D30*24*B37</f>
        <v>6.4973611121913155</v>
      </c>
      <c r="E31" s="18">
        <v>44956</v>
      </c>
      <c r="F31" s="8">
        <v>0</v>
      </c>
      <c r="G31" s="8">
        <v>0</v>
      </c>
      <c r="L31" s="16">
        <f t="shared" si="0"/>
        <v>4.6530555569408989</v>
      </c>
      <c r="M31" s="4">
        <f t="shared" si="1"/>
        <v>24.188909312757264</v>
      </c>
    </row>
    <row r="32" spans="1:13" x14ac:dyDescent="0.25">
      <c r="A32" s="1">
        <v>44957</v>
      </c>
      <c r="B32" s="2">
        <v>5.4930555561440997E-2</v>
      </c>
      <c r="D32" s="17"/>
      <c r="E32" s="18">
        <v>44957</v>
      </c>
      <c r="F32" s="8">
        <v>0</v>
      </c>
      <c r="G32" s="8">
        <v>0</v>
      </c>
      <c r="L32" s="16">
        <f t="shared" si="0"/>
        <v>4.6141666671610437</v>
      </c>
      <c r="M32" s="4">
        <f t="shared" si="1"/>
        <v>23.986745419236687</v>
      </c>
    </row>
    <row r="33" spans="1:5" x14ac:dyDescent="0.25">
      <c r="A33" s="11" t="s">
        <v>13</v>
      </c>
      <c r="B33" s="12">
        <f>SUM(B2:B32)</f>
        <v>2.0375231482411298</v>
      </c>
      <c r="E33" s="5"/>
    </row>
    <row r="34" spans="1:5" x14ac:dyDescent="0.25">
      <c r="B34" s="3">
        <f>B33*B37*24</f>
        <v>171.1519444522549</v>
      </c>
      <c r="C34" s="4">
        <f>B34*B38*0.93</f>
        <v>827.45204640859379</v>
      </c>
    </row>
    <row r="37" spans="1:5" x14ac:dyDescent="0.25">
      <c r="A37" t="s">
        <v>4</v>
      </c>
      <c r="B37" s="3">
        <v>3.5</v>
      </c>
    </row>
    <row r="38" spans="1:5" x14ac:dyDescent="0.25">
      <c r="A38" t="s">
        <v>5</v>
      </c>
      <c r="B38" s="10">
        <f>'Table 1'!B2</f>
        <v>5.1985000000000001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" r:id="rId4" name="Button 1">
              <controlPr defaultSize="0" print="0" autoFill="0" autoPict="0" macro="[0]!entrada">
                <anchor moveWithCells="1" sizeWithCells="1">
                  <from>
                    <xdr:col>7</xdr:col>
                    <xdr:colOff>247650</xdr:colOff>
                    <xdr:row>0</xdr:row>
                    <xdr:rowOff>47625</xdr:rowOff>
                  </from>
                  <to>
                    <xdr:col>7</xdr:col>
                    <xdr:colOff>1190625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" name="Button 2">
              <controlPr defaultSize="0" print="0" autoFill="0" autoPict="0" macro="[0]!saida">
                <anchor moveWithCells="1" sizeWithCells="1">
                  <from>
                    <xdr:col>7</xdr:col>
                    <xdr:colOff>1371600</xdr:colOff>
                    <xdr:row>0</xdr:row>
                    <xdr:rowOff>47625</xdr:rowOff>
                  </from>
                  <to>
                    <xdr:col>8</xdr:col>
                    <xdr:colOff>609600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83178-F256-498F-8466-70ABF9C07461}">
  <sheetPr codeName="Planilha8"/>
  <dimension ref="A1:M35"/>
  <sheetViews>
    <sheetView tabSelected="1" workbookViewId="0">
      <selection activeCell="B27" sqref="B27"/>
    </sheetView>
  </sheetViews>
  <sheetFormatPr defaultRowHeight="15" x14ac:dyDescent="0.25"/>
  <cols>
    <col min="1" max="1" width="12.140625" customWidth="1"/>
    <col min="2" max="2" width="17.140625" customWidth="1"/>
    <col min="3" max="3" width="14.28515625" customWidth="1"/>
    <col min="4" max="4" width="14" customWidth="1"/>
    <col min="5" max="5" width="12.5703125" customWidth="1"/>
    <col min="6" max="7" width="10.7109375" customWidth="1"/>
    <col min="8" max="8" width="25.7109375" customWidth="1"/>
    <col min="9" max="9" width="30.85546875" customWidth="1"/>
    <col min="10" max="10" width="34.42578125" customWidth="1"/>
    <col min="12" max="12" width="10.140625" customWidth="1"/>
    <col min="13" max="13" width="10.7109375" customWidth="1"/>
  </cols>
  <sheetData>
    <row r="1" spans="1:13" ht="30.75" customHeight="1" x14ac:dyDescent="0.25">
      <c r="A1" s="13" t="s">
        <v>0</v>
      </c>
      <c r="B1" s="13" t="s">
        <v>14</v>
      </c>
      <c r="C1" s="13"/>
      <c r="D1" s="13"/>
      <c r="E1" s="14" t="s">
        <v>0</v>
      </c>
      <c r="F1" s="15" t="s">
        <v>1</v>
      </c>
      <c r="G1" s="15" t="s">
        <v>3</v>
      </c>
    </row>
    <row r="2" spans="1:13" x14ac:dyDescent="0.25">
      <c r="A2" s="1">
        <v>44958</v>
      </c>
      <c r="B2" s="2">
        <v>0.12841435185162547</v>
      </c>
      <c r="E2" s="18">
        <v>44958</v>
      </c>
      <c r="F2" s="8">
        <v>0</v>
      </c>
      <c r="G2" s="8">
        <v>0</v>
      </c>
      <c r="L2" s="16">
        <f t="shared" ref="L2:L29" si="0">B2*24*$B$34</f>
        <v>10.786805555536541</v>
      </c>
      <c r="M2" s="4">
        <f t="shared" ref="M2:M29" si="1">L2*$B$35</f>
        <v>56.075208680456704</v>
      </c>
    </row>
    <row r="3" spans="1:13" x14ac:dyDescent="0.25">
      <c r="A3" s="1">
        <v>44959</v>
      </c>
      <c r="B3" s="2">
        <v>3.3194444447872229E-2</v>
      </c>
      <c r="E3" s="18">
        <v>44959</v>
      </c>
      <c r="F3" s="8">
        <v>0</v>
      </c>
      <c r="G3" s="8">
        <v>0</v>
      </c>
      <c r="L3" s="16">
        <f t="shared" si="0"/>
        <v>2.7883333336212672</v>
      </c>
      <c r="M3" s="4">
        <f t="shared" si="1"/>
        <v>14.495150834830158</v>
      </c>
    </row>
    <row r="4" spans="1:13" x14ac:dyDescent="0.25">
      <c r="A4" s="1">
        <v>44960</v>
      </c>
      <c r="B4" s="2">
        <v>4.1527777793817222E-2</v>
      </c>
      <c r="E4" s="18">
        <v>44960</v>
      </c>
      <c r="F4" s="8">
        <v>0</v>
      </c>
      <c r="G4" s="8">
        <v>0</v>
      </c>
      <c r="L4" s="16">
        <f t="shared" si="0"/>
        <v>3.4883333346806467</v>
      </c>
      <c r="M4" s="4">
        <f t="shared" si="1"/>
        <v>18.134100840337343</v>
      </c>
    </row>
    <row r="5" spans="1:13" x14ac:dyDescent="0.25">
      <c r="A5" s="1">
        <v>44961</v>
      </c>
      <c r="B5" s="2">
        <v>1.8703703703067731E-2</v>
      </c>
      <c r="E5" s="18">
        <v>44961</v>
      </c>
      <c r="F5" s="8">
        <v>0</v>
      </c>
      <c r="G5" s="8">
        <v>0</v>
      </c>
      <c r="L5" s="16">
        <f t="shared" si="0"/>
        <v>1.5711111110576894</v>
      </c>
      <c r="M5" s="4">
        <f t="shared" si="1"/>
        <v>8.1674211108333985</v>
      </c>
    </row>
    <row r="6" spans="1:13" x14ac:dyDescent="0.25">
      <c r="A6" s="1">
        <v>44962</v>
      </c>
      <c r="B6" s="2">
        <v>2.5185185186273884E-2</v>
      </c>
      <c r="C6" t="s">
        <v>2</v>
      </c>
      <c r="D6" s="2">
        <f>SUM(Janeiro_2023!$B$31:$B$32) + SUM(B2:B6)</f>
        <v>0.35734953707910821</v>
      </c>
      <c r="E6" s="18">
        <v>44962</v>
      </c>
      <c r="F6" s="8">
        <v>0</v>
      </c>
      <c r="G6" s="8">
        <v>0</v>
      </c>
      <c r="L6" s="16">
        <f t="shared" si="0"/>
        <v>2.1155555556470063</v>
      </c>
      <c r="M6" s="4">
        <f t="shared" si="1"/>
        <v>10.997715556030963</v>
      </c>
    </row>
    <row r="7" spans="1:13" x14ac:dyDescent="0.25">
      <c r="A7" s="1">
        <v>44963</v>
      </c>
      <c r="B7" s="2">
        <v>4.2361111118225381E-3</v>
      </c>
      <c r="D7" s="16">
        <f>D6*24*B34</f>
        <v>30.017361114645091</v>
      </c>
      <c r="E7" s="18">
        <v>44963</v>
      </c>
      <c r="F7" s="8">
        <v>0</v>
      </c>
      <c r="G7" s="8">
        <v>0</v>
      </c>
      <c r="H7" s="6"/>
      <c r="L7" s="16">
        <f t="shared" si="0"/>
        <v>0.3558333333930932</v>
      </c>
      <c r="M7" s="4">
        <f t="shared" si="1"/>
        <v>1.8497995836439951</v>
      </c>
    </row>
    <row r="8" spans="1:13" x14ac:dyDescent="0.25">
      <c r="A8" s="1">
        <v>44964</v>
      </c>
      <c r="B8" s="2">
        <v>0.18898148150037741</v>
      </c>
      <c r="E8" s="18">
        <v>44964</v>
      </c>
      <c r="F8" s="8">
        <v>0</v>
      </c>
      <c r="G8" s="8">
        <v>0</v>
      </c>
      <c r="H8" s="7"/>
      <c r="L8" s="16">
        <f t="shared" si="0"/>
        <v>15.874444446031703</v>
      </c>
      <c r="M8" s="4">
        <f t="shared" si="1"/>
        <v>82.523299452695809</v>
      </c>
    </row>
    <row r="9" spans="1:13" x14ac:dyDescent="0.25">
      <c r="A9" s="1">
        <v>44965</v>
      </c>
      <c r="B9" s="2">
        <v>2.6539351851851852E-2</v>
      </c>
      <c r="E9" s="18">
        <v>44965</v>
      </c>
      <c r="F9" s="8">
        <v>0</v>
      </c>
      <c r="G9" s="8">
        <v>0</v>
      </c>
      <c r="L9" s="16">
        <f t="shared" si="0"/>
        <v>2.2293055555555554</v>
      </c>
      <c r="M9" s="4">
        <f t="shared" si="1"/>
        <v>11.589044930555556</v>
      </c>
    </row>
    <row r="10" spans="1:13" x14ac:dyDescent="0.25">
      <c r="A10" s="1">
        <v>44966</v>
      </c>
      <c r="B10" s="2">
        <v>4.3055555579485372E-3</v>
      </c>
      <c r="E10" s="18">
        <v>44966</v>
      </c>
      <c r="F10" s="8">
        <v>0</v>
      </c>
      <c r="G10" s="8">
        <v>0</v>
      </c>
      <c r="L10" s="16">
        <f t="shared" si="0"/>
        <v>0.36166666686767712</v>
      </c>
      <c r="M10" s="4">
        <f t="shared" si="1"/>
        <v>1.8801241677116196</v>
      </c>
    </row>
    <row r="11" spans="1:13" x14ac:dyDescent="0.25">
      <c r="A11" s="1">
        <v>44967</v>
      </c>
      <c r="B11" s="2">
        <v>0</v>
      </c>
      <c r="E11" s="18">
        <v>44967</v>
      </c>
      <c r="F11" s="8">
        <v>0</v>
      </c>
      <c r="G11" s="8">
        <v>0</v>
      </c>
      <c r="L11" s="16">
        <f t="shared" si="0"/>
        <v>0</v>
      </c>
      <c r="M11" s="4">
        <f t="shared" si="1"/>
        <v>0</v>
      </c>
    </row>
    <row r="12" spans="1:13" x14ac:dyDescent="0.25">
      <c r="A12" s="1">
        <v>44968</v>
      </c>
      <c r="B12" s="2">
        <v>7.3842592610162683E-3</v>
      </c>
      <c r="E12" s="18">
        <v>44968</v>
      </c>
      <c r="F12" s="8">
        <v>0</v>
      </c>
      <c r="G12" s="8">
        <v>0</v>
      </c>
      <c r="L12" s="16">
        <f t="shared" si="0"/>
        <v>0.62027777792536654</v>
      </c>
      <c r="M12" s="4">
        <f t="shared" si="1"/>
        <v>3.224514028545018</v>
      </c>
    </row>
    <row r="13" spans="1:13" x14ac:dyDescent="0.25">
      <c r="A13" s="1">
        <v>44969</v>
      </c>
      <c r="B13" s="2">
        <v>1.9340277773153502E-2</v>
      </c>
      <c r="C13" t="s">
        <v>2</v>
      </c>
      <c r="D13" s="2">
        <f>SUM(B7:B13)</f>
        <v>0.25078703705617011</v>
      </c>
      <c r="E13" s="18">
        <v>44969</v>
      </c>
      <c r="F13" s="8">
        <v>0</v>
      </c>
      <c r="G13" s="8">
        <v>0</v>
      </c>
      <c r="H13" s="9"/>
      <c r="L13" s="16">
        <f t="shared" si="0"/>
        <v>1.6245833329448942</v>
      </c>
      <c r="M13" s="4">
        <f t="shared" si="1"/>
        <v>8.4453964563140325</v>
      </c>
    </row>
    <row r="14" spans="1:13" x14ac:dyDescent="0.25">
      <c r="A14" s="1">
        <v>44970</v>
      </c>
      <c r="B14" s="2">
        <v>0</v>
      </c>
      <c r="D14" s="3">
        <f>D13*24*B34</f>
        <v>21.066111112718289</v>
      </c>
      <c r="E14" s="18">
        <v>44970</v>
      </c>
      <c r="F14" s="8">
        <v>0</v>
      </c>
      <c r="G14" s="8">
        <v>0</v>
      </c>
      <c r="L14" s="16">
        <f t="shared" si="0"/>
        <v>0</v>
      </c>
      <c r="M14" s="4">
        <f t="shared" si="1"/>
        <v>0</v>
      </c>
    </row>
    <row r="15" spans="1:13" x14ac:dyDescent="0.25">
      <c r="A15" s="1">
        <v>44971</v>
      </c>
      <c r="B15" s="2">
        <v>0</v>
      </c>
      <c r="E15" s="18">
        <v>44971</v>
      </c>
      <c r="F15" s="8">
        <v>0</v>
      </c>
      <c r="G15" s="8">
        <v>0</v>
      </c>
      <c r="L15" s="16">
        <f t="shared" si="0"/>
        <v>0</v>
      </c>
      <c r="M15" s="4">
        <f t="shared" si="1"/>
        <v>0</v>
      </c>
    </row>
    <row r="16" spans="1:13" x14ac:dyDescent="0.25">
      <c r="A16" s="1">
        <v>44972</v>
      </c>
      <c r="B16" s="2">
        <v>0</v>
      </c>
      <c r="E16" s="18">
        <v>44972</v>
      </c>
      <c r="F16" s="8">
        <v>0</v>
      </c>
      <c r="G16" s="8">
        <v>0</v>
      </c>
      <c r="L16" s="16">
        <f t="shared" si="0"/>
        <v>0</v>
      </c>
      <c r="M16" s="4">
        <f t="shared" si="1"/>
        <v>0</v>
      </c>
    </row>
    <row r="17" spans="1:13" x14ac:dyDescent="0.25">
      <c r="A17" s="1">
        <v>44973</v>
      </c>
      <c r="B17" s="2">
        <v>0</v>
      </c>
      <c r="E17" s="18">
        <v>44973</v>
      </c>
      <c r="F17" s="8">
        <v>0</v>
      </c>
      <c r="G17" s="8">
        <v>0</v>
      </c>
      <c r="L17" s="16">
        <f t="shared" si="0"/>
        <v>0</v>
      </c>
      <c r="M17" s="4">
        <f t="shared" si="1"/>
        <v>0</v>
      </c>
    </row>
    <row r="18" spans="1:13" x14ac:dyDescent="0.25">
      <c r="A18" s="1">
        <v>44974</v>
      </c>
      <c r="B18" s="2">
        <v>0</v>
      </c>
      <c r="E18" s="18">
        <v>44974</v>
      </c>
      <c r="F18" s="8">
        <v>0</v>
      </c>
      <c r="G18" s="8">
        <v>0</v>
      </c>
      <c r="L18" s="16">
        <f t="shared" si="0"/>
        <v>0</v>
      </c>
      <c r="M18" s="4">
        <f t="shared" si="1"/>
        <v>0</v>
      </c>
    </row>
    <row r="19" spans="1:13" x14ac:dyDescent="0.25">
      <c r="A19" s="1">
        <v>44975</v>
      </c>
      <c r="B19" s="2">
        <v>0</v>
      </c>
      <c r="E19" s="18">
        <v>44975</v>
      </c>
      <c r="F19" s="8">
        <v>0</v>
      </c>
      <c r="G19" s="8">
        <v>0</v>
      </c>
      <c r="L19" s="16">
        <f t="shared" si="0"/>
        <v>0</v>
      </c>
      <c r="M19" s="4">
        <f t="shared" si="1"/>
        <v>0</v>
      </c>
    </row>
    <row r="20" spans="1:13" x14ac:dyDescent="0.25">
      <c r="A20" s="1">
        <v>44976</v>
      </c>
      <c r="B20" s="2">
        <v>0</v>
      </c>
      <c r="C20" t="s">
        <v>2</v>
      </c>
      <c r="D20" s="2">
        <f>SUM(B14:B20)</f>
        <v>0</v>
      </c>
      <c r="E20" s="18">
        <v>44976</v>
      </c>
      <c r="F20" s="8">
        <v>0</v>
      </c>
      <c r="G20" s="8">
        <v>0</v>
      </c>
      <c r="L20" s="16">
        <f t="shared" si="0"/>
        <v>0</v>
      </c>
      <c r="M20" s="4">
        <f t="shared" si="1"/>
        <v>0</v>
      </c>
    </row>
    <row r="21" spans="1:13" x14ac:dyDescent="0.25">
      <c r="A21" s="1">
        <v>44977</v>
      </c>
      <c r="B21" s="2">
        <v>0.14893518517783377</v>
      </c>
      <c r="D21" s="16">
        <f>D20*24*B34</f>
        <v>0</v>
      </c>
      <c r="E21" s="18">
        <v>44977</v>
      </c>
      <c r="F21" s="8">
        <v>0</v>
      </c>
      <c r="G21" s="8">
        <v>0</v>
      </c>
      <c r="L21" s="16">
        <f t="shared" si="0"/>
        <v>12.510555554938037</v>
      </c>
      <c r="M21" s="4">
        <f t="shared" si="1"/>
        <v>65.036123052345388</v>
      </c>
    </row>
    <row r="22" spans="1:13" x14ac:dyDescent="0.25">
      <c r="A22" s="1">
        <v>44978</v>
      </c>
      <c r="B22" s="2">
        <v>0.25877314813260455</v>
      </c>
      <c r="E22" s="18">
        <v>44978</v>
      </c>
      <c r="F22" s="8">
        <v>0</v>
      </c>
      <c r="G22" s="8">
        <v>0</v>
      </c>
      <c r="L22" s="16">
        <f t="shared" si="0"/>
        <v>21.736944443138782</v>
      </c>
      <c r="M22" s="4">
        <f t="shared" si="1"/>
        <v>112.99950568765696</v>
      </c>
    </row>
    <row r="23" spans="1:13" x14ac:dyDescent="0.25">
      <c r="A23" s="1">
        <v>44979</v>
      </c>
      <c r="B23" s="2">
        <v>0.35085648148378823</v>
      </c>
      <c r="E23" s="18">
        <v>44979</v>
      </c>
      <c r="F23" s="8">
        <v>0</v>
      </c>
      <c r="G23" s="8">
        <v>0</v>
      </c>
      <c r="L23" s="16">
        <f t="shared" si="0"/>
        <v>29.471944444638211</v>
      </c>
      <c r="M23" s="4">
        <f t="shared" si="1"/>
        <v>153.20990319545174</v>
      </c>
    </row>
    <row r="24" spans="1:13" x14ac:dyDescent="0.25">
      <c r="A24" s="1">
        <v>44980</v>
      </c>
      <c r="B24" s="2">
        <v>0.29399305555853061</v>
      </c>
      <c r="E24" s="18">
        <v>44980</v>
      </c>
      <c r="F24" s="8">
        <v>0</v>
      </c>
      <c r="G24" s="8">
        <v>0</v>
      </c>
      <c r="L24" s="16">
        <f t="shared" si="0"/>
        <v>24.695416666916572</v>
      </c>
      <c r="M24" s="4">
        <f t="shared" si="1"/>
        <v>128.3791235429658</v>
      </c>
    </row>
    <row r="25" spans="1:13" x14ac:dyDescent="0.25">
      <c r="A25" s="1">
        <v>44981</v>
      </c>
      <c r="B25" s="2">
        <v>0.33549768517696066</v>
      </c>
      <c r="E25" s="18">
        <v>44981</v>
      </c>
      <c r="F25" s="8">
        <v>0</v>
      </c>
      <c r="G25" s="8">
        <v>0</v>
      </c>
      <c r="L25" s="16">
        <f t="shared" si="0"/>
        <v>28.181805554864695</v>
      </c>
      <c r="M25" s="4">
        <f t="shared" si="1"/>
        <v>146.50311617696411</v>
      </c>
    </row>
    <row r="26" spans="1:13" x14ac:dyDescent="0.25">
      <c r="A26" s="1">
        <v>44982</v>
      </c>
      <c r="B26" s="2">
        <v>9.4189814823039342E-2</v>
      </c>
      <c r="E26" s="18">
        <v>44982</v>
      </c>
      <c r="F26" s="8">
        <v>0</v>
      </c>
      <c r="G26" s="8">
        <v>0</v>
      </c>
      <c r="L26" s="16">
        <f t="shared" si="0"/>
        <v>7.9119444451353047</v>
      </c>
      <c r="M26" s="4">
        <f t="shared" si="1"/>
        <v>41.130243198035885</v>
      </c>
    </row>
    <row r="27" spans="1:13" x14ac:dyDescent="0.25">
      <c r="A27" s="1">
        <v>44983</v>
      </c>
      <c r="B27" s="2"/>
      <c r="C27" t="s">
        <v>2</v>
      </c>
      <c r="D27" s="2">
        <f>SUM(B21:B27)</f>
        <v>1.4822453703527572</v>
      </c>
      <c r="E27" s="18">
        <v>44983</v>
      </c>
      <c r="F27" s="8"/>
      <c r="G27" s="8"/>
      <c r="L27" s="16">
        <f t="shared" si="0"/>
        <v>0</v>
      </c>
      <c r="M27" s="4">
        <f t="shared" si="1"/>
        <v>0</v>
      </c>
    </row>
    <row r="28" spans="1:13" x14ac:dyDescent="0.25">
      <c r="A28" s="1">
        <v>44984</v>
      </c>
      <c r="B28" s="2"/>
      <c r="D28" s="16">
        <f>D27*24*B34</f>
        <v>124.5086111096316</v>
      </c>
      <c r="E28" s="18">
        <v>44984</v>
      </c>
      <c r="F28" s="8"/>
      <c r="G28" s="8"/>
      <c r="L28" s="16">
        <f t="shared" si="0"/>
        <v>0</v>
      </c>
      <c r="M28" s="4">
        <f t="shared" si="1"/>
        <v>0</v>
      </c>
    </row>
    <row r="29" spans="1:13" x14ac:dyDescent="0.25">
      <c r="A29" s="1">
        <v>44985</v>
      </c>
      <c r="B29" s="2"/>
      <c r="E29" s="18">
        <v>44985</v>
      </c>
      <c r="F29" s="8"/>
      <c r="G29" s="8"/>
      <c r="L29" s="16">
        <f t="shared" si="0"/>
        <v>0</v>
      </c>
      <c r="M29" s="4">
        <f t="shared" si="1"/>
        <v>0</v>
      </c>
    </row>
    <row r="30" spans="1:13" x14ac:dyDescent="0.25">
      <c r="A30" s="11" t="s">
        <v>13</v>
      </c>
      <c r="B30" s="12">
        <f>SUM(B2:B29)</f>
        <v>1.9800578703915839</v>
      </c>
      <c r="E30" s="5"/>
    </row>
    <row r="31" spans="1:13" x14ac:dyDescent="0.25">
      <c r="B31" s="3">
        <f>B30*B34*24</f>
        <v>166.32486111289305</v>
      </c>
      <c r="C31" s="4">
        <f>B31*B35*0.95</f>
        <v>821.40780097060576</v>
      </c>
    </row>
    <row r="34" spans="1:2" x14ac:dyDescent="0.25">
      <c r="A34" t="s">
        <v>4</v>
      </c>
      <c r="B34" s="3">
        <v>3.5</v>
      </c>
    </row>
    <row r="35" spans="1:2" x14ac:dyDescent="0.25">
      <c r="A35" t="s">
        <v>5</v>
      </c>
      <c r="B35" s="10">
        <f>'Table 1'!B2</f>
        <v>5.1985000000000001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entrada">
                <anchor moveWithCells="1">
                  <from>
                    <xdr:col>7</xdr:col>
                    <xdr:colOff>247650</xdr:colOff>
                    <xdr:row>0</xdr:row>
                    <xdr:rowOff>47625</xdr:rowOff>
                  </from>
                  <to>
                    <xdr:col>7</xdr:col>
                    <xdr:colOff>1181100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aida">
                <anchor moveWithCells="1">
                  <from>
                    <xdr:col>7</xdr:col>
                    <xdr:colOff>1371600</xdr:colOff>
                    <xdr:row>0</xdr:row>
                    <xdr:rowOff>47625</xdr:rowOff>
                  </from>
                  <to>
                    <xdr:col>8</xdr:col>
                    <xdr:colOff>609600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AE9B6D-FC6B-4F3E-94EB-61FD304D50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Table 1</vt:lpstr>
      <vt:lpstr>Janeiro_2023</vt:lpstr>
      <vt:lpstr>Fevereiro_2023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</dc:creator>
  <cp:lastModifiedBy>Luka Gouvea</cp:lastModifiedBy>
  <dcterms:created xsi:type="dcterms:W3CDTF">2022-08-06T21:29:02Z</dcterms:created>
  <dcterms:modified xsi:type="dcterms:W3CDTF">2023-02-27T18:11:42Z</dcterms:modified>
</cp:coreProperties>
</file>